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伊拉克DCC项目\导入导出模板\"/>
    </mc:Choice>
  </mc:AlternateContent>
  <xr:revisionPtr revIDLastSave="0" documentId="13_ncr:1_{95AB017F-0FBC-470C-9A7F-E7FC8DB3A56E}" xr6:coauthVersionLast="47" xr6:coauthVersionMax="47" xr10:uidLastSave="{00000000-0000-0000-0000-000000000000}"/>
  <bookViews>
    <workbookView xWindow="-28920" yWindow="-120" windowWidth="29040" windowHeight="15720" tabRatio="688" xr2:uid="{00000000-000D-0000-FFFF-FFFF00000000}"/>
  </bookViews>
  <sheets>
    <sheet name="一线生料磨" sheetId="37" r:id="rId1"/>
  </sheets>
  <definedNames>
    <definedName name="_xlnm._FilterDatabase" localSheetId="0" hidden="1">一线生料磨!$A$6:$G$70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37" l="1"/>
  <c r="C70" i="37"/>
  <c r="C69" i="37"/>
  <c r="C68" i="37"/>
  <c r="C67" i="37"/>
  <c r="C66" i="37"/>
  <c r="C65" i="37"/>
  <c r="C64" i="37"/>
  <c r="C63" i="37"/>
  <c r="C62" i="37"/>
  <c r="C61" i="37"/>
  <c r="C60" i="37"/>
  <c r="C59" i="37"/>
  <c r="C58" i="37"/>
  <c r="C57" i="37"/>
  <c r="C56" i="37"/>
  <c r="C55" i="37"/>
  <c r="C54" i="37"/>
  <c r="C53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C40" i="37"/>
  <c r="C39" i="37"/>
  <c r="C38" i="37"/>
  <c r="C37" i="37"/>
  <c r="C36" i="37"/>
  <c r="C35" i="37"/>
  <c r="C34" i="37"/>
  <c r="C33" i="37"/>
  <c r="C32" i="37"/>
  <c r="C31" i="37"/>
  <c r="C30" i="37"/>
  <c r="C29" i="37"/>
  <c r="C28" i="37"/>
  <c r="C27" i="37"/>
  <c r="C26" i="37"/>
  <c r="C25" i="37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C8" i="37"/>
  <c r="C7" i="37"/>
  <c r="F5" i="37"/>
  <c r="E5" i="37"/>
  <c r="D5" i="37"/>
  <c r="C5" i="37"/>
  <c r="B5" i="37"/>
  <c r="F4" i="37"/>
  <c r="E4" i="37"/>
  <c r="D4" i="37"/>
  <c r="C4" i="37"/>
  <c r="B4" i="37"/>
</calcChain>
</file>

<file path=xl/sharedStrings.xml><?xml version="1.0" encoding="utf-8"?>
<sst xmlns="http://schemas.openxmlformats.org/spreadsheetml/2006/main" count="54" uniqueCount="27">
  <si>
    <t>2026年（一线）生料磨临停统计表</t>
  </si>
  <si>
    <t xml:space="preserve"> 填报部门：生产部                                    日期：</t>
  </si>
  <si>
    <t>停机类型</t>
  </si>
  <si>
    <t>机械</t>
  </si>
  <si>
    <t>电气</t>
  </si>
  <si>
    <t>工艺</t>
  </si>
  <si>
    <t>计划停机</t>
  </si>
  <si>
    <t>其它</t>
  </si>
  <si>
    <t>注:最大记录数为300条,以停机类型出现的个数进行次数汇总</t>
  </si>
  <si>
    <t>时间汇总(h)</t>
  </si>
  <si>
    <t>次数汇总</t>
  </si>
  <si>
    <t>停机日期时间</t>
  </si>
  <si>
    <t>开机日期时间</t>
  </si>
  <si>
    <t>时长（H）</t>
  </si>
  <si>
    <t>停机原因</t>
  </si>
  <si>
    <t>因总降故障停机。</t>
  </si>
  <si>
    <t>因库满计划停机。</t>
  </si>
  <si>
    <t>因磨盘边缘护板脱落停机</t>
  </si>
  <si>
    <t>因维修1#液压缓冲缸停机</t>
  </si>
  <si>
    <t>因砂岩蓬库停机</t>
  </si>
  <si>
    <t>因3508板位机跳停停机</t>
  </si>
  <si>
    <t>因循环斗提4107电流波动大停机检查</t>
  </si>
  <si>
    <t>因限电停机</t>
  </si>
  <si>
    <t>因振动大停机</t>
  </si>
  <si>
    <t>因窑尾收尘器故障停机</t>
  </si>
  <si>
    <t>因磨机振动大停机。</t>
  </si>
  <si>
    <t>因计划检修停机。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</si>
</sst>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yyyy/m/d\ h:mm;@"/>
    <numFmt numFmtId="179" formatCode="0.00_);[Red]\(0.00\)"/>
    <numFmt numFmtId="180" formatCode="0_);[Red]\(0\)"/>
    <numFmt numFmtId="181" formatCode="0.0"/>
  </numFmts>
  <fonts count="9" x14ac:knownFonts="1">
    <font>
      <sz val="12"/>
      <name val="宋体"/>
      <charset val="134"/>
    </font>
    <font>
      <sz val="10"/>
      <name val="宋体"/>
      <charset val="134"/>
    </font>
    <font>
      <b/>
      <sz val="18"/>
      <name val="黑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178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79" fontId="6" fillId="0" borderId="6" xfId="0" applyNumberFormat="1" applyFont="1" applyBorder="1" applyAlignment="1">
      <alignment horizontal="right" vertical="center"/>
    </xf>
    <xf numFmtId="0" fontId="4" fillId="0" borderId="8" xfId="0" applyFont="1" applyBorder="1" applyAlignment="1" applyProtection="1">
      <alignment horizontal="center" vertical="center"/>
      <protection locked="0"/>
    </xf>
    <xf numFmtId="180" fontId="6" fillId="0" borderId="9" xfId="0" applyNumberFormat="1" applyFont="1" applyBorder="1" applyAlignment="1">
      <alignment horizontal="right" vertical="center"/>
    </xf>
    <xf numFmtId="178" fontId="5" fillId="0" borderId="2" xfId="0" applyNumberFormat="1" applyFont="1" applyBorder="1" applyAlignment="1" applyProtection="1">
      <alignment horizontal="center" vertical="center"/>
      <protection locked="0"/>
    </xf>
    <xf numFmtId="17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81" fontId="5" fillId="0" borderId="3" xfId="0" applyNumberFormat="1" applyFont="1" applyBorder="1" applyAlignment="1" applyProtection="1">
      <alignment horizontal="center" vertical="center"/>
      <protection locked="0"/>
    </xf>
    <xf numFmtId="178" fontId="1" fillId="0" borderId="5" xfId="0" applyNumberFormat="1" applyFont="1" applyBorder="1" applyAlignment="1" applyProtection="1">
      <alignment horizontal="center" vertical="center"/>
      <protection locked="0"/>
    </xf>
    <xf numFmtId="179" fontId="1" fillId="0" borderId="6" xfId="0" applyNumberFormat="1" applyFont="1" applyBorder="1" applyAlignment="1" applyProtection="1">
      <alignment horizontal="center" vertical="center" shrinkToFit="1"/>
      <protection locked="0" hidden="1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178" fontId="1" fillId="0" borderId="6" xfId="0" applyNumberFormat="1" applyFont="1" applyBorder="1" applyAlignment="1" applyProtection="1">
      <alignment horizontal="center" vertical="center"/>
      <protection locked="0"/>
    </xf>
    <xf numFmtId="178" fontId="1" fillId="0" borderId="14" xfId="0" applyNumberFormat="1" applyFont="1" applyBorder="1" applyAlignment="1" applyProtection="1">
      <alignment horizontal="center" vertical="center"/>
      <protection locked="0"/>
    </xf>
    <xf numFmtId="178" fontId="1" fillId="0" borderId="15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72"/>
  <sheetViews>
    <sheetView tabSelected="1" workbookViewId="0">
      <pane ySplit="6" topLeftCell="A7" activePane="bottomLeft" state="frozen"/>
      <selection pane="bottomLeft" activeCell="L17" sqref="L17"/>
    </sheetView>
  </sheetViews>
  <sheetFormatPr defaultColWidth="9" defaultRowHeight="18.75" customHeight="1" x14ac:dyDescent="0.15"/>
  <cols>
    <col min="1" max="1" width="16.375" style="2" customWidth="1"/>
    <col min="2" max="2" width="16.75" style="2" customWidth="1"/>
    <col min="3" max="3" width="13.375" style="3" customWidth="1"/>
    <col min="4" max="4" width="13.75" style="3" customWidth="1"/>
    <col min="5" max="5" width="18.625" style="4" customWidth="1"/>
    <col min="6" max="7" width="18.625" style="1" customWidth="1"/>
    <col min="8" max="8" width="4.75" style="1" customWidth="1"/>
    <col min="9" max="9" width="8" style="1" customWidth="1"/>
    <col min="10" max="10" width="4.75" style="1" customWidth="1"/>
    <col min="11" max="16384" width="9" style="1"/>
  </cols>
  <sheetData>
    <row r="1" spans="1:7" ht="35.25" customHeight="1" x14ac:dyDescent="0.15">
      <c r="A1" s="24" t="s">
        <v>0</v>
      </c>
      <c r="B1" s="24"/>
      <c r="C1" s="24"/>
      <c r="D1" s="24"/>
      <c r="E1" s="24"/>
      <c r="F1" s="24"/>
      <c r="G1" s="24"/>
    </row>
    <row r="2" spans="1:7" ht="23.25" customHeight="1" x14ac:dyDescent="0.15">
      <c r="A2" s="25" t="s">
        <v>1</v>
      </c>
      <c r="B2" s="25"/>
      <c r="C2" s="25"/>
      <c r="D2" s="25"/>
      <c r="E2" s="25"/>
      <c r="F2" s="5"/>
    </row>
    <row r="3" spans="1:7" ht="23.25" customHeight="1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33" t="s">
        <v>8</v>
      </c>
    </row>
    <row r="4" spans="1:7" ht="23.25" customHeight="1" x14ac:dyDescent="0.15">
      <c r="A4" s="8" t="s">
        <v>9</v>
      </c>
      <c r="B4" s="9">
        <f>SUMIF($D7:$D72,"机械",$C7:$C72)</f>
        <v>18.133333334291802</v>
      </c>
      <c r="C4" s="9">
        <f>SUMIF($D7:$D72,"电气",$C7:$C72)</f>
        <v>6.8999999997904498</v>
      </c>
      <c r="D4" s="9">
        <f>SUMIF($D7:$D72,"工艺",$C7:$C72)</f>
        <v>1.25000000267755</v>
      </c>
      <c r="E4" s="9">
        <f>SUMIF($D7:$D71,"计划停机",$C7:$C71)</f>
        <v>795.24999999470299</v>
      </c>
      <c r="F4" s="9">
        <f>SUMIF($D7:$D72,"其它",$C7:$C72)</f>
        <v>0.49999999918509302</v>
      </c>
      <c r="G4" s="34"/>
    </row>
    <row r="5" spans="1:7" ht="23.25" customHeight="1" x14ac:dyDescent="0.15">
      <c r="A5" s="10" t="s">
        <v>10</v>
      </c>
      <c r="B5" s="11">
        <f>COUNTIF($D7:$D72,"机械")</f>
        <v>3</v>
      </c>
      <c r="C5" s="11">
        <f>COUNTIF($D7:$D72,"电气")</f>
        <v>3</v>
      </c>
      <c r="D5" s="11">
        <f>COUNTIF($D7:$D72,"工艺")</f>
        <v>3</v>
      </c>
      <c r="E5" s="11">
        <f>COUNTIF($D7:$D71,"计划停机")</f>
        <v>9</v>
      </c>
      <c r="F5" s="11">
        <f>COUNTIF($D7:$D72,"其它")</f>
        <v>1</v>
      </c>
      <c r="G5" s="35"/>
    </row>
    <row r="6" spans="1:7" ht="18.75" customHeight="1" x14ac:dyDescent="0.15">
      <c r="A6" s="12" t="s">
        <v>11</v>
      </c>
      <c r="B6" s="13" t="s">
        <v>12</v>
      </c>
      <c r="C6" s="14" t="s">
        <v>13</v>
      </c>
      <c r="D6" s="15" t="s">
        <v>2</v>
      </c>
      <c r="E6" s="26" t="s">
        <v>14</v>
      </c>
      <c r="F6" s="26"/>
      <c r="G6" s="27"/>
    </row>
    <row r="7" spans="1:7" ht="18.75" customHeight="1" x14ac:dyDescent="0.15">
      <c r="A7" s="20">
        <v>46144.579861111102</v>
      </c>
      <c r="B7" s="20">
        <v>46144.8125</v>
      </c>
      <c r="C7" s="17">
        <f>(B7-A7)*24</f>
        <v>5.5833333333721402</v>
      </c>
      <c r="D7" s="18" t="s">
        <v>4</v>
      </c>
      <c r="E7" s="31" t="s">
        <v>15</v>
      </c>
      <c r="F7" s="31"/>
      <c r="G7" s="32"/>
    </row>
    <row r="8" spans="1:7" ht="18.75" customHeight="1" x14ac:dyDescent="0.15">
      <c r="A8" s="20">
        <v>46145.291666666701</v>
      </c>
      <c r="B8" s="20">
        <v>46145.760416666701</v>
      </c>
      <c r="C8" s="17">
        <f>(B8-A8)*24</f>
        <v>11.25</v>
      </c>
      <c r="D8" s="18" t="s">
        <v>6</v>
      </c>
      <c r="E8" s="31" t="s">
        <v>16</v>
      </c>
      <c r="F8" s="31"/>
      <c r="G8" s="32"/>
    </row>
    <row r="9" spans="1:7" ht="18.75" customHeight="1" x14ac:dyDescent="0.15">
      <c r="A9" s="20">
        <v>46146.142361111102</v>
      </c>
      <c r="B9" s="20">
        <v>46146.701388888898</v>
      </c>
      <c r="C9" s="17">
        <f t="shared" ref="C9:C25" si="0">(B9-A9)*24</f>
        <v>13.4166666670935</v>
      </c>
      <c r="D9" s="18" t="s">
        <v>3</v>
      </c>
      <c r="E9" s="31" t="s">
        <v>17</v>
      </c>
      <c r="F9" s="31"/>
      <c r="G9" s="32"/>
    </row>
    <row r="10" spans="1:7" ht="18.75" customHeight="1" x14ac:dyDescent="0.15">
      <c r="A10" s="20">
        <v>46152.291666666701</v>
      </c>
      <c r="B10" s="20">
        <v>46152.75</v>
      </c>
      <c r="C10" s="17">
        <f t="shared" si="0"/>
        <v>10.9999999991851</v>
      </c>
      <c r="D10" s="18" t="s">
        <v>6</v>
      </c>
      <c r="E10" s="31" t="s">
        <v>16</v>
      </c>
      <c r="F10" s="31"/>
      <c r="G10" s="32"/>
    </row>
    <row r="11" spans="1:7" ht="18.75" customHeight="1" x14ac:dyDescent="0.15">
      <c r="A11" s="20">
        <v>46154.463194444397</v>
      </c>
      <c r="B11" s="20">
        <v>46154.579861111102</v>
      </c>
      <c r="C11" s="17">
        <f t="shared" si="0"/>
        <v>2.8000000009196802</v>
      </c>
      <c r="D11" s="18" t="s">
        <v>3</v>
      </c>
      <c r="E11" s="31" t="s">
        <v>18</v>
      </c>
      <c r="F11" s="31"/>
      <c r="G11" s="32"/>
    </row>
    <row r="12" spans="1:7" ht="18.75" customHeight="1" x14ac:dyDescent="0.15">
      <c r="A12" s="20">
        <v>46155.329861111102</v>
      </c>
      <c r="B12" s="20">
        <v>46155.354166666701</v>
      </c>
      <c r="C12" s="17">
        <f t="shared" si="0"/>
        <v>0.58333333436166901</v>
      </c>
      <c r="D12" s="18" t="s">
        <v>5</v>
      </c>
      <c r="E12" s="31" t="s">
        <v>19</v>
      </c>
      <c r="F12" s="31"/>
      <c r="G12" s="32"/>
    </row>
    <row r="13" spans="1:7" ht="18.75" customHeight="1" x14ac:dyDescent="0.15">
      <c r="A13" s="20">
        <v>46156.226388888899</v>
      </c>
      <c r="B13" s="20">
        <v>46156.243055555598</v>
      </c>
      <c r="C13" s="17">
        <f t="shared" si="0"/>
        <v>0.40000000077998299</v>
      </c>
      <c r="D13" s="18" t="s">
        <v>4</v>
      </c>
      <c r="E13" s="31" t="s">
        <v>20</v>
      </c>
      <c r="F13" s="31"/>
      <c r="G13" s="32"/>
    </row>
    <row r="14" spans="1:7" ht="18.75" customHeight="1" x14ac:dyDescent="0.15">
      <c r="A14" s="20">
        <v>46157.291666666701</v>
      </c>
      <c r="B14" s="20">
        <v>46157.666666666701</v>
      </c>
      <c r="C14" s="17">
        <f t="shared" si="0"/>
        <v>9</v>
      </c>
      <c r="D14" s="18" t="s">
        <v>6</v>
      </c>
      <c r="E14" s="31" t="s">
        <v>16</v>
      </c>
      <c r="F14" s="31"/>
      <c r="G14" s="32"/>
    </row>
    <row r="15" spans="1:7" ht="18.75" customHeight="1" x14ac:dyDescent="0.15">
      <c r="A15" s="20">
        <v>46160.618055555598</v>
      </c>
      <c r="B15" s="20">
        <v>46160.65625</v>
      </c>
      <c r="C15" s="17">
        <f t="shared" si="0"/>
        <v>0.91666666563833099</v>
      </c>
      <c r="D15" s="18" t="s">
        <v>4</v>
      </c>
      <c r="E15" s="31" t="s">
        <v>21</v>
      </c>
      <c r="F15" s="31"/>
      <c r="G15" s="32"/>
    </row>
    <row r="16" spans="1:7" ht="18.75" customHeight="1" x14ac:dyDescent="0.15">
      <c r="A16" s="20">
        <v>46161.996527777803</v>
      </c>
      <c r="B16" s="20">
        <v>46162.017361111102</v>
      </c>
      <c r="C16" s="17">
        <f t="shared" si="0"/>
        <v>0.49999999918509302</v>
      </c>
      <c r="D16" s="18" t="s">
        <v>7</v>
      </c>
      <c r="E16" s="31" t="s">
        <v>22</v>
      </c>
      <c r="F16" s="31"/>
      <c r="G16" s="32"/>
    </row>
    <row r="17" spans="1:7" ht="18.75" customHeight="1" x14ac:dyDescent="0.15">
      <c r="A17" s="20">
        <v>46162.291666666701</v>
      </c>
      <c r="B17" s="20">
        <v>46162.677083333299</v>
      </c>
      <c r="C17" s="17">
        <f t="shared" si="0"/>
        <v>9.2499999983701908</v>
      </c>
      <c r="D17" s="18" t="s">
        <v>6</v>
      </c>
      <c r="E17" s="31" t="s">
        <v>16</v>
      </c>
      <c r="F17" s="31"/>
      <c r="G17" s="32"/>
    </row>
    <row r="18" spans="1:7" ht="18.75" customHeight="1" x14ac:dyDescent="0.15">
      <c r="A18" s="20">
        <v>46162.983333333301</v>
      </c>
      <c r="B18" s="20">
        <v>46163.004166666702</v>
      </c>
      <c r="C18" s="17">
        <f t="shared" si="0"/>
        <v>0.50000000162981495</v>
      </c>
      <c r="D18" s="18" t="s">
        <v>5</v>
      </c>
      <c r="E18" s="31" t="s">
        <v>23</v>
      </c>
      <c r="F18" s="31"/>
      <c r="G18" s="32"/>
    </row>
    <row r="19" spans="1:7" ht="18.75" customHeight="1" x14ac:dyDescent="0.15">
      <c r="A19" s="20">
        <v>46165.291666666701</v>
      </c>
      <c r="B19" s="20">
        <v>46165.75</v>
      </c>
      <c r="C19" s="17">
        <f t="shared" si="0"/>
        <v>10.9999999991851</v>
      </c>
      <c r="D19" s="18" t="s">
        <v>6</v>
      </c>
      <c r="E19" s="31" t="s">
        <v>16</v>
      </c>
      <c r="F19" s="31"/>
      <c r="G19" s="32"/>
    </row>
    <row r="20" spans="1:7" ht="18.75" customHeight="1" x14ac:dyDescent="0.15">
      <c r="A20" s="16">
        <v>46167.291666666701</v>
      </c>
      <c r="B20" s="20">
        <v>46167.708333333299</v>
      </c>
      <c r="C20" s="17">
        <f t="shared" si="0"/>
        <v>9.9999999983701908</v>
      </c>
      <c r="D20" s="18" t="s">
        <v>6</v>
      </c>
      <c r="E20" s="31" t="s">
        <v>16</v>
      </c>
      <c r="F20" s="31"/>
      <c r="G20" s="32"/>
    </row>
    <row r="21" spans="1:7" ht="18.75" customHeight="1" x14ac:dyDescent="0.15">
      <c r="A21" s="16">
        <v>46169.5</v>
      </c>
      <c r="B21" s="20">
        <v>46169.836805555598</v>
      </c>
      <c r="C21" s="17">
        <f t="shared" si="0"/>
        <v>8.0833333343616705</v>
      </c>
      <c r="D21" s="18" t="s">
        <v>6</v>
      </c>
      <c r="E21" s="31" t="s">
        <v>16</v>
      </c>
      <c r="F21" s="31"/>
      <c r="G21" s="32"/>
    </row>
    <row r="22" spans="1:7" ht="18.75" customHeight="1" x14ac:dyDescent="0.15">
      <c r="A22" s="16">
        <v>46169.902777777803</v>
      </c>
      <c r="B22" s="20">
        <v>46169.982638888898</v>
      </c>
      <c r="C22" s="17">
        <f t="shared" si="0"/>
        <v>1.91666666627862</v>
      </c>
      <c r="D22" s="18" t="s">
        <v>3</v>
      </c>
      <c r="E22" s="28" t="s">
        <v>24</v>
      </c>
      <c r="F22" s="29"/>
      <c r="G22" s="30"/>
    </row>
    <row r="23" spans="1:7" ht="18.75" customHeight="1" x14ac:dyDescent="0.15">
      <c r="A23" s="16">
        <v>46172.291666666701</v>
      </c>
      <c r="B23" s="20">
        <v>46172.628472222197</v>
      </c>
      <c r="C23" s="17">
        <f t="shared" si="0"/>
        <v>8.0833333319169505</v>
      </c>
      <c r="D23" s="18" t="s">
        <v>6</v>
      </c>
      <c r="E23" s="36" t="s">
        <v>16</v>
      </c>
      <c r="F23" s="37"/>
      <c r="G23" s="38"/>
    </row>
    <row r="24" spans="1:7" ht="18.75" customHeight="1" x14ac:dyDescent="0.15">
      <c r="A24" s="16">
        <v>46174.368055555598</v>
      </c>
      <c r="B24" s="20">
        <v>46174.375</v>
      </c>
      <c r="C24" s="17">
        <f t="shared" si="0"/>
        <v>0.166666666686069</v>
      </c>
      <c r="D24" s="18" t="s">
        <v>5</v>
      </c>
      <c r="E24" s="36" t="s">
        <v>25</v>
      </c>
      <c r="F24" s="37"/>
      <c r="G24" s="38"/>
    </row>
    <row r="25" spans="1:7" ht="18.75" customHeight="1" x14ac:dyDescent="0.15">
      <c r="A25" s="16">
        <v>46174.392361111102</v>
      </c>
      <c r="B25" s="20">
        <v>46204.291666666701</v>
      </c>
      <c r="C25" s="17">
        <f t="shared" si="0"/>
        <v>717.58333333331404</v>
      </c>
      <c r="D25" s="18" t="s">
        <v>6</v>
      </c>
      <c r="E25" s="28" t="s">
        <v>26</v>
      </c>
      <c r="F25" s="29"/>
      <c r="G25" s="30"/>
    </row>
    <row r="26" spans="1:7" ht="18.75" customHeight="1" x14ac:dyDescent="0.15">
      <c r="A26" s="16"/>
      <c r="B26" s="20"/>
      <c r="C26" s="17">
        <f t="shared" ref="C26:C50" si="1">(B26-A26)*24</f>
        <v>0</v>
      </c>
      <c r="D26" s="18"/>
      <c r="E26" s="28"/>
      <c r="F26" s="29"/>
      <c r="G26" s="30"/>
    </row>
    <row r="27" spans="1:7" ht="18.75" customHeight="1" x14ac:dyDescent="0.15">
      <c r="A27" s="16"/>
      <c r="B27" s="20"/>
      <c r="C27" s="17">
        <f t="shared" si="1"/>
        <v>0</v>
      </c>
      <c r="D27" s="18"/>
      <c r="E27" s="28"/>
      <c r="F27" s="29"/>
      <c r="G27" s="30"/>
    </row>
    <row r="28" spans="1:7" ht="18.75" customHeight="1" x14ac:dyDescent="0.15">
      <c r="A28" s="16"/>
      <c r="B28" s="20"/>
      <c r="C28" s="17">
        <f t="shared" si="1"/>
        <v>0</v>
      </c>
      <c r="D28" s="18"/>
      <c r="E28" s="28"/>
      <c r="F28" s="29"/>
      <c r="G28" s="30"/>
    </row>
    <row r="29" spans="1:7" ht="18.75" customHeight="1" x14ac:dyDescent="0.15">
      <c r="A29" s="16"/>
      <c r="B29" s="20"/>
      <c r="C29" s="17">
        <f t="shared" si="1"/>
        <v>0</v>
      </c>
      <c r="D29" s="18"/>
      <c r="E29" s="28"/>
      <c r="F29" s="29"/>
      <c r="G29" s="30"/>
    </row>
    <row r="30" spans="1:7" ht="18.75" customHeight="1" x14ac:dyDescent="0.15">
      <c r="A30" s="16"/>
      <c r="B30" s="20"/>
      <c r="C30" s="17">
        <f t="shared" si="1"/>
        <v>0</v>
      </c>
      <c r="D30" s="18"/>
      <c r="E30" s="28"/>
      <c r="F30" s="29"/>
      <c r="G30" s="30"/>
    </row>
    <row r="31" spans="1:7" ht="18.75" customHeight="1" x14ac:dyDescent="0.15">
      <c r="A31" s="16"/>
      <c r="B31" s="20"/>
      <c r="C31" s="17">
        <f t="shared" si="1"/>
        <v>0</v>
      </c>
      <c r="D31" s="18"/>
      <c r="E31" s="28"/>
      <c r="F31" s="29"/>
      <c r="G31" s="30"/>
    </row>
    <row r="32" spans="1:7" ht="18.75" customHeight="1" x14ac:dyDescent="0.15">
      <c r="A32" s="16"/>
      <c r="B32" s="20"/>
      <c r="C32" s="17">
        <f t="shared" si="1"/>
        <v>0</v>
      </c>
      <c r="D32" s="18"/>
      <c r="E32" s="28"/>
      <c r="F32" s="29"/>
      <c r="G32" s="30"/>
    </row>
    <row r="33" spans="1:7" ht="18.75" customHeight="1" x14ac:dyDescent="0.15">
      <c r="A33" s="16"/>
      <c r="B33" s="20"/>
      <c r="C33" s="17">
        <f t="shared" si="1"/>
        <v>0</v>
      </c>
      <c r="D33" s="18"/>
      <c r="E33" s="28"/>
      <c r="F33" s="29"/>
      <c r="G33" s="30"/>
    </row>
    <row r="34" spans="1:7" ht="18.75" customHeight="1" x14ac:dyDescent="0.15">
      <c r="A34" s="16"/>
      <c r="B34" s="20"/>
      <c r="C34" s="17">
        <f t="shared" si="1"/>
        <v>0</v>
      </c>
      <c r="D34" s="18"/>
      <c r="E34" s="28"/>
      <c r="F34" s="29"/>
      <c r="G34" s="30"/>
    </row>
    <row r="35" spans="1:7" ht="18.75" customHeight="1" x14ac:dyDescent="0.15">
      <c r="A35" s="16"/>
      <c r="B35" s="20"/>
      <c r="C35" s="17">
        <f t="shared" si="1"/>
        <v>0</v>
      </c>
      <c r="D35" s="18"/>
      <c r="E35" s="28"/>
      <c r="F35" s="29"/>
      <c r="G35" s="30"/>
    </row>
    <row r="36" spans="1:7" ht="18.75" customHeight="1" x14ac:dyDescent="0.15">
      <c r="A36" s="16"/>
      <c r="B36" s="20"/>
      <c r="C36" s="17">
        <f t="shared" si="1"/>
        <v>0</v>
      </c>
      <c r="D36" s="18"/>
      <c r="E36" s="28"/>
      <c r="F36" s="29"/>
      <c r="G36" s="30"/>
    </row>
    <row r="37" spans="1:7" ht="18.75" customHeight="1" x14ac:dyDescent="0.15">
      <c r="A37" s="16"/>
      <c r="B37" s="20"/>
      <c r="C37" s="17">
        <f t="shared" si="1"/>
        <v>0</v>
      </c>
      <c r="D37" s="18"/>
      <c r="E37" s="28"/>
      <c r="F37" s="29"/>
      <c r="G37" s="30"/>
    </row>
    <row r="38" spans="1:7" ht="18.75" customHeight="1" x14ac:dyDescent="0.15">
      <c r="A38" s="16"/>
      <c r="B38" s="20"/>
      <c r="C38" s="17">
        <f t="shared" si="1"/>
        <v>0</v>
      </c>
      <c r="D38" s="18"/>
      <c r="E38" s="28"/>
      <c r="F38" s="29"/>
      <c r="G38" s="30"/>
    </row>
    <row r="39" spans="1:7" ht="18.75" customHeight="1" x14ac:dyDescent="0.15">
      <c r="A39" s="16"/>
      <c r="B39" s="20"/>
      <c r="C39" s="17">
        <f t="shared" si="1"/>
        <v>0</v>
      </c>
      <c r="D39" s="18"/>
      <c r="E39" s="28"/>
      <c r="F39" s="29"/>
      <c r="G39" s="30"/>
    </row>
    <row r="40" spans="1:7" ht="18.75" customHeight="1" x14ac:dyDescent="0.15">
      <c r="A40" s="16"/>
      <c r="B40" s="20"/>
      <c r="C40" s="17">
        <f t="shared" si="1"/>
        <v>0</v>
      </c>
      <c r="D40" s="18"/>
      <c r="E40" s="28"/>
      <c r="F40" s="29"/>
      <c r="G40" s="30"/>
    </row>
    <row r="41" spans="1:7" ht="18.75" customHeight="1" x14ac:dyDescent="0.15">
      <c r="A41" s="16"/>
      <c r="B41" s="20"/>
      <c r="C41" s="17">
        <f t="shared" si="1"/>
        <v>0</v>
      </c>
      <c r="D41" s="18"/>
      <c r="E41" s="28"/>
      <c r="F41" s="29"/>
      <c r="G41" s="30"/>
    </row>
    <row r="42" spans="1:7" ht="18.75" customHeight="1" x14ac:dyDescent="0.15">
      <c r="A42" s="16"/>
      <c r="B42" s="20"/>
      <c r="C42" s="17">
        <f t="shared" si="1"/>
        <v>0</v>
      </c>
      <c r="D42" s="18"/>
      <c r="E42" s="18"/>
      <c r="F42" s="18"/>
      <c r="G42" s="19"/>
    </row>
    <row r="43" spans="1:7" ht="18.75" customHeight="1" x14ac:dyDescent="0.15">
      <c r="A43" s="16"/>
      <c r="B43" s="20"/>
      <c r="C43" s="17">
        <f t="shared" si="1"/>
        <v>0</v>
      </c>
      <c r="D43" s="18"/>
      <c r="E43" s="18"/>
      <c r="F43" s="18"/>
      <c r="G43" s="19"/>
    </row>
    <row r="44" spans="1:7" ht="18.75" customHeight="1" x14ac:dyDescent="0.15">
      <c r="A44" s="16"/>
      <c r="B44" s="20"/>
      <c r="C44" s="17">
        <f t="shared" si="1"/>
        <v>0</v>
      </c>
      <c r="D44" s="18"/>
      <c r="E44" s="18"/>
      <c r="F44" s="18"/>
      <c r="G44" s="19"/>
    </row>
    <row r="45" spans="1:7" ht="18.75" customHeight="1" x14ac:dyDescent="0.15">
      <c r="A45" s="16"/>
      <c r="B45" s="20"/>
      <c r="C45" s="17">
        <f t="shared" si="1"/>
        <v>0</v>
      </c>
      <c r="D45" s="18"/>
      <c r="E45" s="18"/>
      <c r="F45" s="18"/>
      <c r="G45" s="19"/>
    </row>
    <row r="46" spans="1:7" ht="18.75" customHeight="1" x14ac:dyDescent="0.15">
      <c r="A46" s="16"/>
      <c r="B46" s="20"/>
      <c r="C46" s="17">
        <f t="shared" si="1"/>
        <v>0</v>
      </c>
      <c r="D46" s="18"/>
      <c r="E46" s="18"/>
      <c r="F46" s="18"/>
      <c r="G46" s="19"/>
    </row>
    <row r="47" spans="1:7" ht="18.75" customHeight="1" x14ac:dyDescent="0.15">
      <c r="A47" s="16"/>
      <c r="B47" s="20"/>
      <c r="C47" s="17">
        <f t="shared" si="1"/>
        <v>0</v>
      </c>
      <c r="D47" s="18"/>
      <c r="E47" s="18"/>
      <c r="F47" s="18"/>
      <c r="G47" s="19"/>
    </row>
    <row r="48" spans="1:7" ht="18.75" customHeight="1" x14ac:dyDescent="0.15">
      <c r="A48" s="16"/>
      <c r="B48" s="20"/>
      <c r="C48" s="17">
        <f t="shared" si="1"/>
        <v>0</v>
      </c>
      <c r="D48" s="18"/>
      <c r="E48" s="18"/>
      <c r="F48" s="18"/>
      <c r="G48" s="19"/>
    </row>
    <row r="49" spans="1:7" ht="18.75" customHeight="1" x14ac:dyDescent="0.15">
      <c r="A49" s="16"/>
      <c r="B49" s="20"/>
      <c r="C49" s="17">
        <f t="shared" si="1"/>
        <v>0</v>
      </c>
      <c r="D49" s="18"/>
      <c r="E49" s="18"/>
      <c r="F49" s="18"/>
      <c r="G49" s="19"/>
    </row>
    <row r="50" spans="1:7" ht="18.75" customHeight="1" x14ac:dyDescent="0.15">
      <c r="A50" s="16"/>
      <c r="B50" s="20"/>
      <c r="C50" s="17">
        <f t="shared" si="1"/>
        <v>0</v>
      </c>
      <c r="D50" s="18"/>
      <c r="E50" s="18"/>
      <c r="F50" s="18"/>
      <c r="G50" s="19"/>
    </row>
    <row r="51" spans="1:7" ht="18.75" customHeight="1" x14ac:dyDescent="0.15">
      <c r="A51" s="16"/>
      <c r="B51" s="20"/>
      <c r="C51" s="17">
        <f t="shared" ref="C51:C71" si="2">(B51-A51)*24</f>
        <v>0</v>
      </c>
      <c r="D51" s="18"/>
      <c r="E51" s="18"/>
      <c r="F51" s="18"/>
      <c r="G51" s="19"/>
    </row>
    <row r="52" spans="1:7" ht="18.75" customHeight="1" x14ac:dyDescent="0.15">
      <c r="A52" s="16"/>
      <c r="B52" s="20"/>
      <c r="C52" s="17">
        <f t="shared" si="2"/>
        <v>0</v>
      </c>
      <c r="D52" s="18"/>
      <c r="E52" s="18"/>
      <c r="F52" s="18"/>
      <c r="G52" s="19"/>
    </row>
    <row r="53" spans="1:7" ht="18.75" customHeight="1" x14ac:dyDescent="0.15">
      <c r="A53" s="16"/>
      <c r="B53" s="20"/>
      <c r="C53" s="17">
        <f t="shared" si="2"/>
        <v>0</v>
      </c>
      <c r="D53" s="18"/>
      <c r="E53" s="18"/>
      <c r="F53" s="18"/>
      <c r="G53" s="19"/>
    </row>
    <row r="54" spans="1:7" ht="18.75" customHeight="1" x14ac:dyDescent="0.15">
      <c r="A54" s="16"/>
      <c r="B54" s="20"/>
      <c r="C54" s="17">
        <f t="shared" si="2"/>
        <v>0</v>
      </c>
      <c r="D54" s="18"/>
      <c r="E54" s="18"/>
      <c r="F54" s="18"/>
      <c r="G54" s="19"/>
    </row>
    <row r="55" spans="1:7" ht="18.75" customHeight="1" x14ac:dyDescent="0.15">
      <c r="A55" s="16"/>
      <c r="B55" s="20"/>
      <c r="C55" s="17">
        <f t="shared" si="2"/>
        <v>0</v>
      </c>
      <c r="D55" s="18"/>
      <c r="E55" s="18"/>
      <c r="F55" s="18"/>
      <c r="G55" s="19"/>
    </row>
    <row r="56" spans="1:7" ht="18.75" customHeight="1" x14ac:dyDescent="0.15">
      <c r="A56" s="16"/>
      <c r="B56" s="20"/>
      <c r="C56" s="17">
        <f t="shared" si="2"/>
        <v>0</v>
      </c>
      <c r="D56" s="18"/>
      <c r="E56" s="18"/>
      <c r="F56" s="18"/>
      <c r="G56" s="19"/>
    </row>
    <row r="57" spans="1:7" ht="18.75" customHeight="1" x14ac:dyDescent="0.15">
      <c r="A57" s="16"/>
      <c r="B57" s="20"/>
      <c r="C57" s="17">
        <f t="shared" si="2"/>
        <v>0</v>
      </c>
      <c r="D57" s="18"/>
      <c r="E57" s="18"/>
      <c r="F57" s="18"/>
      <c r="G57" s="19"/>
    </row>
    <row r="58" spans="1:7" ht="18.75" customHeight="1" x14ac:dyDescent="0.15">
      <c r="A58" s="16"/>
      <c r="B58" s="20"/>
      <c r="C58" s="17">
        <f t="shared" si="2"/>
        <v>0</v>
      </c>
      <c r="D58" s="18"/>
      <c r="E58" s="18"/>
      <c r="F58" s="18"/>
      <c r="G58" s="19"/>
    </row>
    <row r="59" spans="1:7" ht="18.75" customHeight="1" x14ac:dyDescent="0.15">
      <c r="A59" s="16"/>
      <c r="B59" s="20"/>
      <c r="C59" s="17">
        <f t="shared" si="2"/>
        <v>0</v>
      </c>
      <c r="D59" s="18"/>
      <c r="E59" s="18"/>
      <c r="F59" s="18"/>
      <c r="G59" s="19"/>
    </row>
    <row r="60" spans="1:7" ht="18.75" customHeight="1" x14ac:dyDescent="0.15">
      <c r="A60" s="16"/>
      <c r="B60" s="20"/>
      <c r="C60" s="17">
        <f t="shared" si="2"/>
        <v>0</v>
      </c>
      <c r="D60" s="18"/>
      <c r="E60" s="18"/>
      <c r="F60" s="18"/>
      <c r="G60" s="19"/>
    </row>
    <row r="61" spans="1:7" ht="18.75" customHeight="1" x14ac:dyDescent="0.15">
      <c r="A61" s="16"/>
      <c r="B61" s="20"/>
      <c r="C61" s="17">
        <f t="shared" si="2"/>
        <v>0</v>
      </c>
      <c r="D61" s="18"/>
      <c r="E61" s="18"/>
      <c r="F61" s="18"/>
      <c r="G61" s="19"/>
    </row>
    <row r="62" spans="1:7" ht="18.75" customHeight="1" x14ac:dyDescent="0.15">
      <c r="A62" s="16"/>
      <c r="B62" s="20"/>
      <c r="C62" s="17">
        <f t="shared" si="2"/>
        <v>0</v>
      </c>
      <c r="D62" s="18"/>
      <c r="E62" s="18"/>
      <c r="F62" s="18"/>
      <c r="G62" s="19"/>
    </row>
    <row r="63" spans="1:7" ht="18.75" customHeight="1" x14ac:dyDescent="0.15">
      <c r="A63" s="16"/>
      <c r="B63" s="20"/>
      <c r="C63" s="17">
        <f t="shared" si="2"/>
        <v>0</v>
      </c>
      <c r="D63" s="18"/>
      <c r="E63" s="18"/>
      <c r="F63" s="18"/>
      <c r="G63" s="19"/>
    </row>
    <row r="64" spans="1:7" ht="18.75" customHeight="1" x14ac:dyDescent="0.15">
      <c r="A64" s="16"/>
      <c r="B64" s="20"/>
      <c r="C64" s="17">
        <f t="shared" si="2"/>
        <v>0</v>
      </c>
      <c r="D64" s="18"/>
      <c r="E64" s="18"/>
      <c r="F64" s="18"/>
      <c r="G64" s="19"/>
    </row>
    <row r="65" spans="1:7" ht="18.75" customHeight="1" x14ac:dyDescent="0.15">
      <c r="A65" s="16"/>
      <c r="B65" s="20"/>
      <c r="C65" s="17">
        <f t="shared" si="2"/>
        <v>0</v>
      </c>
      <c r="D65" s="18"/>
      <c r="E65" s="18"/>
      <c r="F65" s="18"/>
      <c r="G65" s="19"/>
    </row>
    <row r="66" spans="1:7" ht="18.75" customHeight="1" x14ac:dyDescent="0.15">
      <c r="A66" s="16"/>
      <c r="B66" s="20"/>
      <c r="C66" s="17">
        <f t="shared" si="2"/>
        <v>0</v>
      </c>
      <c r="D66" s="18"/>
      <c r="E66" s="18"/>
      <c r="F66" s="18"/>
      <c r="G66" s="19"/>
    </row>
    <row r="67" spans="1:7" ht="18.75" customHeight="1" x14ac:dyDescent="0.15">
      <c r="A67" s="16"/>
      <c r="B67" s="20"/>
      <c r="C67" s="17">
        <f t="shared" si="2"/>
        <v>0</v>
      </c>
      <c r="D67" s="18"/>
      <c r="E67" s="18"/>
      <c r="F67" s="18"/>
      <c r="G67" s="19"/>
    </row>
    <row r="68" spans="1:7" ht="18.75" customHeight="1" x14ac:dyDescent="0.15">
      <c r="A68" s="16"/>
      <c r="B68" s="20"/>
      <c r="C68" s="17">
        <f t="shared" si="2"/>
        <v>0</v>
      </c>
      <c r="D68" s="18"/>
      <c r="E68" s="18"/>
      <c r="F68" s="18"/>
      <c r="G68" s="19"/>
    </row>
    <row r="69" spans="1:7" ht="18.75" customHeight="1" x14ac:dyDescent="0.15">
      <c r="A69" s="16"/>
      <c r="B69" s="20"/>
      <c r="C69" s="17">
        <f t="shared" si="2"/>
        <v>0</v>
      </c>
      <c r="D69" s="18"/>
      <c r="E69" s="31"/>
      <c r="F69" s="31"/>
      <c r="G69" s="32"/>
    </row>
    <row r="70" spans="1:7" ht="18.75" customHeight="1" x14ac:dyDescent="0.15">
      <c r="A70" s="16"/>
      <c r="B70" s="20"/>
      <c r="C70" s="17">
        <f t="shared" si="2"/>
        <v>0</v>
      </c>
      <c r="D70" s="18"/>
      <c r="E70" s="31"/>
      <c r="F70" s="31"/>
      <c r="G70" s="32"/>
    </row>
    <row r="71" spans="1:7" ht="18.75" customHeight="1" x14ac:dyDescent="0.15">
      <c r="A71" s="21"/>
      <c r="B71" s="22"/>
      <c r="C71" s="17">
        <f t="shared" si="2"/>
        <v>0</v>
      </c>
      <c r="D71" s="23"/>
      <c r="E71" s="39"/>
      <c r="F71" s="40"/>
      <c r="G71" s="41"/>
    </row>
    <row r="72" hidden="1" ht="2" customHeight="1">
      <c r="A72" t="inlineStr">
        <is>
          <t>AIGC:e84097ce-137b-4f85-9783-f60ea405e922</t>
        </is>
      </c>
      <c r="B72" t="inlineStr">
        <is>
          <t>{"Label":"1","ContentProducer":"001191110102MAD55U9H0F10002","ProduceID":"e84097ce-137b-4f85-9783-f60ea405e922","ReservedCode1":"b590f5f7-7459-4477-be5d-3eaffe3cff03","ContentPropagator":"001191110102MAD55U9H0F10002","PropagateID":"e84097ce-137b-4f85-9783-f60ea405e922","ReservedCode2":"b590f5f7-7459-4477-be5d-3eaffe3cff03"}</t>
        </is>
      </c>
    </row>
  </sheetData>
  <sheetProtection selectLockedCells="1"/>
  <mergeCells count="42">
    <mergeCell ref="E71:G71"/>
    <mergeCell ref="G3:G5"/>
    <mergeCell ref="E39:G39"/>
    <mergeCell ref="E40:G40"/>
    <mergeCell ref="E41:G41"/>
    <mergeCell ref="E69:G69"/>
    <mergeCell ref="E70:G70"/>
    <mergeCell ref="E34:G34"/>
    <mergeCell ref="E35:G35"/>
    <mergeCell ref="E36:G36"/>
    <mergeCell ref="E37:G37"/>
    <mergeCell ref="E38:G38"/>
    <mergeCell ref="E29:G29"/>
    <mergeCell ref="E30:G30"/>
    <mergeCell ref="E31:G31"/>
    <mergeCell ref="E32:G32"/>
    <mergeCell ref="E33:G33"/>
    <mergeCell ref="E24:G24"/>
    <mergeCell ref="E25:G25"/>
    <mergeCell ref="E26:G26"/>
    <mergeCell ref="E27:G27"/>
    <mergeCell ref="E28:G28"/>
    <mergeCell ref="E19:G19"/>
    <mergeCell ref="E20:G20"/>
    <mergeCell ref="E21:G21"/>
    <mergeCell ref="E22:G22"/>
    <mergeCell ref="E23:G23"/>
    <mergeCell ref="E14:G14"/>
    <mergeCell ref="E15:G15"/>
    <mergeCell ref="E16:G16"/>
    <mergeCell ref="E17:G17"/>
    <mergeCell ref="E18:G18"/>
    <mergeCell ref="E9:G9"/>
    <mergeCell ref="E10:G10"/>
    <mergeCell ref="E11:G11"/>
    <mergeCell ref="E12:G12"/>
    <mergeCell ref="E13:G13"/>
    <mergeCell ref="A1:G1"/>
    <mergeCell ref="A2:E2"/>
    <mergeCell ref="E6:G6"/>
    <mergeCell ref="E7:G7"/>
    <mergeCell ref="E8:G8"/>
  </mergeCells>
  <phoneticPr fontId="8" type="noConversion"/>
  <dataValidations count="1">
    <dataValidation type="list" allowBlank="1" showInputMessage="1" showErrorMessage="1" sqref="F2 D6:D65299" xr:uid="{00000000-0002-0000-0000-000000000000}">
      <formula1>$B$3:$F$3</formula1>
    </dataValidation>
  </dataValidation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一线生料磨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guoxi@ivystar.com.cn</cp:lastModifiedBy>
  <cp:lastPrinted>2023-06-05T05:59:00Z</cp:lastPrinted>
  <dcterms:created xsi:type="dcterms:W3CDTF">2010-07-08T02:51:00Z</dcterms:created>
  <dcterms:modified xsi:type="dcterms:W3CDTF">2026-09-03T08:22:12Z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0E8151F2844D454F87065D72B43B3A6E_12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AIGC">
    <vt:lpwstr>{"Label":"1","ContentProducer":"001191110102MAD55U9H0F10002","ProduceID":"e84097ce-137b-4f85-9783-f60ea405e922","ReservedCode1":"b590f5f7-7459-4477-be5d-3eaffe3cff03","ContentPropagator":"001191110102MAD55U9H0F10002","PropagateID":"e84097ce-137b-4f85-9783-f60ea405e922","ReservedCode2":"b590f5f7-7459-4477-be5d-3eaffe3cff03"}</vt:lpwstr>
  </property>
</Properties>
</file>